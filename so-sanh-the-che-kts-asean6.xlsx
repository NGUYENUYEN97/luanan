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C &amp; Overview" sheetId="1" state="visible" r:id="rId1"/>
    <sheet xmlns:r="http://schemas.openxmlformats.org/officeDocument/2006/relationships" name="Institutions Comparison" sheetId="2" state="visible" r:id="rId2"/>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7">
    <font>
      <name val="Calibri"/>
      <family val="2"/>
      <color theme="1"/>
      <sz val="11"/>
      <scheme val="minor"/>
    </font>
    <font>
      <name val="Calibri"/>
      <b val="1"/>
      <color rgb="001F497D"/>
      <sz val="16"/>
    </font>
    <font>
      <name val="Calibri"/>
      <i val="1"/>
      <color rgb="00595959"/>
      <sz val="10"/>
    </font>
    <font>
      <name val="Calibri"/>
      <b val="1"/>
      <color rgb="001F497D"/>
      <sz val="12"/>
    </font>
    <font>
      <name val="Calibri"/>
      <b val="1"/>
      <color rgb="00FFFFFF"/>
      <sz val="11"/>
    </font>
    <font>
      <name val="Calibri"/>
      <b val="1"/>
      <sz val="11"/>
    </font>
    <font>
      <name val="Calibri"/>
      <sz val="11"/>
    </font>
  </fonts>
  <fills count="8">
    <fill>
      <patternFill/>
    </fill>
    <fill>
      <patternFill patternType="gray125"/>
    </fill>
    <fill>
      <patternFill patternType="solid">
        <fgColor rgb="001F497D"/>
        <bgColor rgb="001F497D"/>
      </patternFill>
    </fill>
    <fill>
      <patternFill patternType="solid">
        <fgColor rgb="00F2F2F2"/>
        <bgColor rgb="00F2F2F2"/>
      </patternFill>
    </fill>
    <fill>
      <patternFill patternType="solid">
        <fgColor rgb="00D9E1F2"/>
        <bgColor rgb="00D9E1F2"/>
      </patternFill>
    </fill>
    <fill>
      <patternFill patternType="solid">
        <fgColor rgb="00DCE6F1"/>
        <bgColor rgb="00DCE6F1"/>
      </patternFill>
    </fill>
    <fill>
      <patternFill patternType="solid">
        <fgColor rgb="00F9FAFB"/>
        <bgColor rgb="00F9FAFB"/>
      </patternFill>
    </fill>
    <fill>
      <patternFill patternType="solid">
        <fgColor rgb="00F2F5F8"/>
        <bgColor rgb="00F2F5F8"/>
      </patternFill>
    </fill>
  </fills>
  <borders count="4">
    <border>
      <left/>
      <right/>
      <top/>
      <bottom/>
      <diagonal/>
    </border>
    <border>
      <left style="thin">
        <color rgb="00D9D9D9"/>
      </left>
      <right style="thin">
        <color rgb="00D9D9D9"/>
      </right>
      <top style="thin">
        <color rgb="00D9D9D9"/>
      </top>
      <bottom style="thin">
        <color rgb="00D9D9D9"/>
      </bottom>
    </border>
    <border>
      <left style="thin">
        <color rgb="00FFFFFF"/>
      </left>
      <right style="thin">
        <color rgb="00FFFFFF"/>
      </right>
      <top style="medium">
        <color rgb="001F497D"/>
      </top>
      <bottom style="medium">
        <color rgb="001F497D"/>
      </bottom>
    </border>
    <border>
      <top style="thin">
        <color rgb="001F497D"/>
      </top>
      <bottom style="double">
        <color rgb="001F497D"/>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0" fontId="6" fillId="0" borderId="1" pivotButton="0" quotePrefix="0" xfId="0"/>
    <xf numFmtId="0" fontId="4" fillId="2" borderId="2" applyAlignment="1" pivotButton="0" quotePrefix="0" xfId="0">
      <alignment horizontal="center" vertical="center" wrapText="1"/>
    </xf>
    <xf numFmtId="0" fontId="5" fillId="0" borderId="1" applyAlignment="1" pivotButton="0" quotePrefix="0" xfId="0">
      <alignment horizontal="left"/>
    </xf>
    <xf numFmtId="164" fontId="6" fillId="0" borderId="1" applyAlignment="1" pivotButton="0" quotePrefix="0" xfId="0">
      <alignment horizontal="right"/>
    </xf>
    <xf numFmtId="10" fontId="6" fillId="0" borderId="1" applyAlignment="1" pivotButton="0" quotePrefix="0" xfId="0">
      <alignment horizontal="right"/>
    </xf>
    <xf numFmtId="165" fontId="6" fillId="0" borderId="1" applyAlignment="1" pivotButton="0" quotePrefix="0" xfId="0">
      <alignment horizontal="right"/>
    </xf>
    <xf numFmtId="166" fontId="5" fillId="0" borderId="1" applyAlignment="1" pivotButton="0" quotePrefix="0" xfId="0">
      <alignment horizontal="right"/>
    </xf>
    <xf numFmtId="0" fontId="5" fillId="3" borderId="1" applyAlignment="1" pivotButton="0" quotePrefix="0" xfId="0">
      <alignment horizontal="left"/>
    </xf>
    <xf numFmtId="164" fontId="6" fillId="3" borderId="1" applyAlignment="1" pivotButton="0" quotePrefix="0" xfId="0">
      <alignment horizontal="right"/>
    </xf>
    <xf numFmtId="10" fontId="6" fillId="3" borderId="1" applyAlignment="1" pivotButton="0" quotePrefix="0" xfId="0">
      <alignment horizontal="right"/>
    </xf>
    <xf numFmtId="165" fontId="6" fillId="3" borderId="1" applyAlignment="1" pivotButton="0" quotePrefix="0" xfId="0">
      <alignment horizontal="right"/>
    </xf>
    <xf numFmtId="166" fontId="5" fillId="3" borderId="1" applyAlignment="1" pivotButton="0" quotePrefix="0" xfId="0">
      <alignment horizontal="right"/>
    </xf>
    <xf numFmtId="0" fontId="5" fillId="0" borderId="0" pivotButton="0" quotePrefix="0" xfId="0"/>
    <xf numFmtId="164" fontId="5" fillId="4" borderId="3" applyAlignment="1" pivotButton="0" quotePrefix="0" xfId="0">
      <alignment horizontal="right"/>
    </xf>
    <xf numFmtId="10" fontId="5" fillId="4" borderId="3" applyAlignment="1" pivotButton="0" quotePrefix="0" xfId="0">
      <alignment horizontal="right"/>
    </xf>
    <xf numFmtId="165" fontId="5" fillId="4" borderId="3" applyAlignment="1" pivotButton="0" quotePrefix="0" xfId="0">
      <alignment horizontal="right"/>
    </xf>
    <xf numFmtId="166" fontId="5" fillId="4" borderId="3" applyAlignment="1" pivotButton="0" quotePrefix="0" xfId="0">
      <alignment horizontal="right"/>
    </xf>
    <xf numFmtId="0" fontId="5" fillId="5" borderId="1" applyAlignment="1" pivotButton="0" quotePrefix="0" xfId="0">
      <alignment horizontal="left" vertical="top" wrapText="1"/>
    </xf>
    <xf numFmtId="0" fontId="6" fillId="6" borderId="1" applyAlignment="1" pivotButton="0" quotePrefix="0" xfId="0">
      <alignment horizontal="left" vertical="top" wrapText="1"/>
    </xf>
    <xf numFmtId="0" fontId="6" fillId="0" borderId="1" applyAlignment="1" pivotButton="0" quotePrefix="0" xfId="0">
      <alignment horizontal="left" vertical="top" wrapText="1"/>
    </xf>
    <xf numFmtId="0" fontId="6"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showGridLines="1" workbookViewId="0">
      <selection activeCell="A1" sqref="A1"/>
    </sheetView>
  </sheetViews>
  <sheetFormatPr baseColWidth="8" defaultRowHeight="15"/>
  <cols>
    <col width="25" customWidth="1" min="1" max="1"/>
    <col width="24" customWidth="1" min="2" max="2"/>
    <col width="24" customWidth="1" min="3" max="3"/>
    <col width="17" customWidth="1" min="4" max="4"/>
    <col width="17" customWidth="1" min="5" max="5"/>
    <col width="31" customWidth="1" min="6" max="6"/>
    <col width="30" customWidth="1" min="7" max="7"/>
    <col width="26" customWidth="1" min="8" max="8"/>
  </cols>
  <sheetData>
    <row r="1">
      <c r="A1" s="1" t="inlineStr">
        <is>
          <t>BẢNG SO SÁNH LIÊN NGÀNH: KINH TẾ SỐ VÀ THỂ CHẾ SHTT ASEAN-6</t>
        </is>
      </c>
    </row>
    <row r="2">
      <c r="A2" s="2" t="inlineStr">
        <is>
          <t>Generated: 2026-06-27 | Version: 1.0 (Dành cho Luận án Tiến sĩ)</t>
        </is>
      </c>
    </row>
    <row r="3"/>
    <row r="4">
      <c r="A4" s="3" t="inlineStr">
        <is>
          <t>MỤC LỤC BẢNG BIỂU (TABLE OF CONTENTS)</t>
        </is>
      </c>
    </row>
    <row r="5">
      <c r="A5" s="4" t="inlineStr">
        <is>
          <t>Tên Trang (Sheet Name)</t>
        </is>
      </c>
      <c r="B5" s="4" t="inlineStr">
        <is>
          <t>Nội dung chi tiết (Description)</t>
        </is>
      </c>
      <c r="C5" s="4" t="inlineStr">
        <is>
          <t>Liên kết nhanh (Shortcut)</t>
        </is>
      </c>
    </row>
    <row r="6">
      <c r="A6" s="5" t="inlineStr">
        <is>
          <t>TOC &amp; Overview</t>
        </is>
      </c>
      <c r="B6" s="6" t="inlineStr">
        <is>
          <t>Số liệu thực chứng quy mô kinh tế số, đóng góp GDP và tốc độ tăng trưởng dự báo.</t>
        </is>
      </c>
      <c r="C6" s="6">
        <f>HYPERLINK("#'TOC &amp; Overview'!A10", "Xem ngay -&gt;")</f>
        <v/>
      </c>
    </row>
    <row r="7">
      <c r="A7" s="5" t="inlineStr">
        <is>
          <t>Institutions Comparison</t>
        </is>
      </c>
      <c r="B7" s="6" t="inlineStr">
        <is>
          <t>So sánh định tính học thuật về chính sách thúc đẩy, quản lý dữ liệu, AI và cơ chế bảo hộ SHTT số.</t>
        </is>
      </c>
      <c r="C7" s="6">
        <f>HYPERLINK("#'Institutions Comparison'!A1", "Xem ngay -&gt;")</f>
        <v/>
      </c>
    </row>
    <row r="8"/>
    <row r="9"/>
    <row r="10">
      <c r="A10" s="3" t="inlineStr">
        <is>
          <t>BẢNG 1: CHỈ TIÊU KINH TẾ VÀ QUY MÔ KINH TẾ SỐ ASEAN-6 (DỮ LIỆU THỰC CHỨNG BÁO CÁO)</t>
        </is>
      </c>
    </row>
    <row r="11" ht="28" customHeight="1">
      <c r="A11" s="7" t="inlineStr">
        <is>
          <t>Quốc gia</t>
        </is>
      </c>
      <c r="B11" s="7" t="inlineStr">
        <is>
          <t>Dân số 2024 (Triệu người)</t>
        </is>
      </c>
      <c r="C11" s="7" t="inlineStr">
        <is>
          <t>Đóng góp KTS vào GDP (%)</t>
        </is>
      </c>
      <c r="D11" s="7" t="inlineStr">
        <is>
          <t>GMV 2022 ($B)</t>
        </is>
      </c>
      <c r="E11" s="7" t="inlineStr">
        <is>
          <t>GMV 2025 ($B)</t>
        </is>
      </c>
      <c r="F11" s="7" t="inlineStr">
        <is>
          <t>Dự báo GMV 2030 (Thấp - $B)</t>
        </is>
      </c>
      <c r="G11" s="7" t="inlineStr">
        <is>
          <t>Dự báo GMV 2030 (Cao - $B)</t>
        </is>
      </c>
      <c r="H11" s="7" t="inlineStr">
        <is>
          <t>CAGR dự kiến 2022-2025</t>
        </is>
      </c>
    </row>
    <row r="12">
      <c r="A12" s="8" t="inlineStr">
        <is>
          <t>Singapore</t>
        </is>
      </c>
      <c r="B12" s="9" t="n">
        <v>6</v>
      </c>
      <c r="C12" s="10" t="n">
        <v>0.13</v>
      </c>
      <c r="D12" s="11" t="n">
        <v>18</v>
      </c>
      <c r="E12" s="11" t="n">
        <v>28</v>
      </c>
      <c r="F12" s="11" t="n">
        <v>40</v>
      </c>
      <c r="G12" s="11" t="n">
        <v>65</v>
      </c>
      <c r="H12" s="12">
        <f>(E12/D12)^(1/3)-1</f>
        <v/>
      </c>
    </row>
    <row r="13">
      <c r="A13" s="13" t="inlineStr">
        <is>
          <t>Indonesia</t>
        </is>
      </c>
      <c r="B13" s="14" t="n">
        <v>280</v>
      </c>
      <c r="C13" s="15" t="n">
        <v>0.09</v>
      </c>
      <c r="D13" s="16" t="n">
        <v>77</v>
      </c>
      <c r="E13" s="16" t="n">
        <v>130</v>
      </c>
      <c r="F13" s="16" t="n">
        <v>220</v>
      </c>
      <c r="G13" s="16" t="n">
        <v>360</v>
      </c>
      <c r="H13" s="17">
        <f>(E13/D13)^(1/3)-1</f>
        <v/>
      </c>
    </row>
    <row r="14">
      <c r="A14" s="8" t="inlineStr">
        <is>
          <t>Malaysia</t>
        </is>
      </c>
      <c r="B14" s="9" t="n">
        <v>35</v>
      </c>
      <c r="C14" s="10" t="n">
        <v>0.14</v>
      </c>
      <c r="D14" s="11" t="n">
        <v>21</v>
      </c>
      <c r="E14" s="11" t="n">
        <v>34</v>
      </c>
      <c r="F14" s="11" t="n">
        <v>40</v>
      </c>
      <c r="G14" s="11" t="n">
        <v>70</v>
      </c>
      <c r="H14" s="12">
        <f>(E14/D14)^(1/3)-1</f>
        <v/>
      </c>
    </row>
    <row r="15">
      <c r="A15" s="13" t="inlineStr">
        <is>
          <t>Thái Lan</t>
        </is>
      </c>
      <c r="B15" s="14" t="n">
        <v>72</v>
      </c>
      <c r="C15" s="15" t="n">
        <v>0.13</v>
      </c>
      <c r="D15" s="16" t="n">
        <v>35</v>
      </c>
      <c r="E15" s="16" t="n">
        <v>53</v>
      </c>
      <c r="F15" s="16" t="n">
        <v>100</v>
      </c>
      <c r="G15" s="16" t="n">
        <v>165</v>
      </c>
      <c r="H15" s="17">
        <f>(E15/D15)^(1/3)-1</f>
        <v/>
      </c>
    </row>
    <row r="16">
      <c r="A16" s="8" t="inlineStr">
        <is>
          <t>Philippines</t>
        </is>
      </c>
      <c r="B16" s="9" t="n">
        <v>119</v>
      </c>
      <c r="C16" s="10" t="n">
        <v>0.094</v>
      </c>
      <c r="D16" s="11" t="n">
        <v>20</v>
      </c>
      <c r="E16" s="11" t="n">
        <v>35</v>
      </c>
      <c r="F16" s="11" t="n">
        <v>100</v>
      </c>
      <c r="G16" s="11" t="n">
        <v>150</v>
      </c>
      <c r="H16" s="12">
        <f>(E16/D16)^(1/3)-1</f>
        <v/>
      </c>
    </row>
    <row r="17">
      <c r="A17" s="13" t="inlineStr">
        <is>
          <t>Việt Nam</t>
        </is>
      </c>
      <c r="B17" s="14" t="n">
        <v>100</v>
      </c>
      <c r="C17" s="15" t="n">
        <v>0.1426</v>
      </c>
      <c r="D17" s="16" t="n">
        <v>23</v>
      </c>
      <c r="E17" s="16" t="n">
        <v>49</v>
      </c>
      <c r="F17" s="16" t="n">
        <v>120</v>
      </c>
      <c r="G17" s="16" t="n">
        <v>200</v>
      </c>
      <c r="H17" s="17">
        <f>(E17/D17)^(1/3)-1</f>
        <v/>
      </c>
    </row>
    <row r="18">
      <c r="A18" s="18" t="inlineStr">
        <is>
          <t>Trung bình (Mean)</t>
        </is>
      </c>
      <c r="B18" s="19">
        <f>AVERAGE(B12:B17)</f>
        <v/>
      </c>
      <c r="C18" s="20">
        <f>AVERAGE(C12:C17)</f>
        <v/>
      </c>
      <c r="D18" s="21">
        <f>AVERAGE(D12:D17)</f>
        <v/>
      </c>
      <c r="E18" s="21">
        <f>AVERAGE(E12:E17)</f>
        <v/>
      </c>
      <c r="F18" s="21">
        <f>AVERAGE(F12:F17)</f>
        <v/>
      </c>
      <c r="G18" s="21">
        <f>AVERAGE(G12:G17)</f>
        <v/>
      </c>
      <c r="H18" s="22">
        <f>(E18/D18)^(1/3)-1</f>
        <v/>
      </c>
    </row>
    <row r="19">
      <c r="A19" s="18" t="inlineStr">
        <is>
          <t>Trung vị (Median)</t>
        </is>
      </c>
      <c r="B19" s="19">
        <f>MEDIAN(B12:B17)</f>
        <v/>
      </c>
      <c r="C19" s="20">
        <f>MEDIAN(C12:C17)</f>
        <v/>
      </c>
      <c r="D19" s="21">
        <f>MEDIAN(D12:D17)</f>
        <v/>
      </c>
      <c r="E19" s="21">
        <f>MEDIAN(E12:E17)</f>
        <v/>
      </c>
      <c r="F19" s="21">
        <f>MEDIAN(F12:F17)</f>
        <v/>
      </c>
      <c r="G19" s="21">
        <f>MEDIAN(G12:G17)</f>
        <v/>
      </c>
      <c r="H19" s="22">
        <f>(E19/D19)^(1/3)-1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showGridLines="1" workbookViewId="0">
      <selection activeCell="A1" sqref="A1"/>
    </sheetView>
  </sheetViews>
  <sheetFormatPr baseColWidth="8" defaultRowHeight="15"/>
  <cols>
    <col width="25" customWidth="1" min="1" max="1"/>
    <col width="38" customWidth="1" min="2" max="2"/>
    <col width="38" customWidth="1" min="3" max="3"/>
    <col width="38" customWidth="1" min="4" max="4"/>
    <col width="38" customWidth="1" min="5" max="5"/>
    <col width="38" customWidth="1" min="6" max="6"/>
    <col width="38" customWidth="1" min="7" max="7"/>
  </cols>
  <sheetData>
    <row r="1">
      <c r="A1" s="1" t="inlineStr">
        <is>
          <t>BẢNG 2: SO SÁNH THỂ CHẾ VÀ CHÍNH SÁCH QUẢN LÝ KINH TẾ SỐ &amp; SHTT ĐÔNG NAM Á (ASEAN-6)</t>
        </is>
      </c>
    </row>
    <row r="2">
      <c r="A2" s="2" t="inlineStr">
        <is>
          <t>Dữ liệu dựa trên Báo cáo TFGI, DEFA, e-Conomy SEA (2020-2025) | Phục vụ luận án Tiến sĩ liên ngành</t>
        </is>
      </c>
    </row>
    <row r="4" ht="28" customHeight="1">
      <c r="A4" s="7" t="inlineStr">
        <is>
          <t>Danh mục so sánh</t>
        </is>
      </c>
      <c r="B4" s="7" t="inlineStr">
        <is>
          <t>Singapore</t>
        </is>
      </c>
      <c r="C4" s="7" t="inlineStr">
        <is>
          <t>Indonesia</t>
        </is>
      </c>
      <c r="D4" s="7" t="inlineStr">
        <is>
          <t>Malaysia</t>
        </is>
      </c>
      <c r="E4" s="7" t="inlineStr">
        <is>
          <t>Thái Lan</t>
        </is>
      </c>
      <c r="F4" s="7" t="inlineStr">
        <is>
          <t>Philippines</t>
        </is>
      </c>
      <c r="G4" s="7" t="inlineStr">
        <is>
          <t>Việt Nam</t>
        </is>
      </c>
    </row>
    <row r="5" ht="110" customHeight="1">
      <c r="A5" s="23" t="inlineStr">
        <is>
          <t>1. Chính sách vĩ mô thúc đẩy kinh tế số</t>
        </is>
      </c>
      <c r="B5" s="24" t="inlineStr">
        <is>
          <t>Tập trung đầu tư mạnh mẽ vào hạ tầng vật chất hiện đại, trung tâm dữ liệu AI thế hệ mới, thu hút FDI công nghệ cao và phát triển nhân tài số chất lượng cao [4, 15].</t>
        </is>
      </c>
      <c r="C5" s="25" t="inlineStr">
        <is>
          <t>Xây dựng mạng lưới hỗ trợ KTS khởi nghiệp thông qua Nền tảng KADIN CIPTA điều phối hệ sinh thái, Đề án phát triển 1000 Digital Startup, Lộ trình TMĐT Quốc gia (E-Commerce Roadmap) [12].</t>
        </is>
      </c>
      <c r="D5" s="25" t="inlineStr">
        <is>
          <t>Ưu tiên chuyển đổi số các doanh nghiệp siêu nhỏ, nhỏ và vừa (MSMEs) và số hóa toàn diện khu vực dịch vụ công [2]. Thúc đẩy sáng kiến hạ tầng số khu vực.</t>
        </is>
      </c>
      <c r="E5" s="25" t="inlineStr">
        <is>
          <t>Kế hoạch Phát triển Cảnh quan Số 20 năm (Digital Landscape Development Plan 2017) chia làm nhiều giai đoạn: Giai đoạn 1 xây dựng nền tảng kết nối số; Giai đoạn 2 thúc đẩy số hóa toàn dân; Giai đoạn 3 (đến 2027) chuyển đổi số toàn diện hướng tới mục tiêu KTS đóng góp 25% GDP vào năm 2027 [4, 5]. Chương trình băng thông rộng nông thôn Net Pracharat lắp cáp quang và Wi-Fi miễn phí tại 24.700 làng [9].</t>
        </is>
      </c>
      <c r="F5" s="25" t="inlineStr">
        <is>
          <t>Chính sách thúc đẩy khởi nghiệp số thông qua Khung liên kết startup và thương mại điện tử quốc gia, ưu tiên tự do hóa và thu hút dòng vốn đầu tư nước ngoài vào hạ tầng kết nối [1].</t>
        </is>
      </c>
      <c r="G5" s="26" t="inlineStr">
        <is>
          <t>Ban hành Nghị quyết số 23-NQ/TW và Nghị quyết số 52-NQ/TW chủ động tham gia Cách mạng công nghiệp 4.0 [5, 9]. Chương trình Chuyển đổi số quốc gia đến năm 2025, định hướng đến năm 2030 (Quyết định số 411/QĐ-TTg) thúc đẩy kinh tế số và xã hội số [5, 7]. Triển khai Cổng hỗ trợ MSMEs chuyển đổi số (SMedx portal) kết nối 23 nền tảng số Việt Nam [6].</t>
        </is>
      </c>
    </row>
    <row r="6" ht="110" customHeight="1">
      <c r="A6" s="23" t="inlineStr">
        <is>
          <t>2. Cơ chế bảo hộ Sở hữu Trí tuệ (SHTT) số</t>
        </is>
      </c>
      <c r="B6" s="24" t="inlineStr">
        <is>
          <t>Sở hữu hệ thống pháp luật bảo hộ quyền sở hữu trí tuệ cực kỳ nghiêm ngặt, minh bạch và hoàn thiện hàng đầu thế giới (Robust Intellectual Property - IP Regulations) [4]. Có cơ chế xử lý tranh chấp bản quyền xuyên biên giới nhanh chóng trên không gian mạng.</t>
        </is>
      </c>
      <c r="C6" s="25" t="inlineStr">
        <is>
          <t>Đang rà soát và cập nhật hệ thống luật SHTT để tích hợp các quy định về bảo vệ nhãn hiệu, bản quyền trên các nền tảng thương mại điện tử trực tuyến, chống hàng giả và xâm phạm quyền [12].</t>
        </is>
      </c>
      <c r="D6" s="25" t="inlineStr">
        <is>
          <t>Áp dụng khung pháp lý SHTT theo tiêu chuẩn các cam kết thương mại tự do thế hệ mới (CPTPP, RCEP), đẩy mạnh thực thi bảo hộ bản quyền phần mềm và nội dung sáng tạo trực tuyến.</t>
        </is>
      </c>
      <c r="E6" s="25" t="inlineStr">
        <is>
          <t>Kế hoạch hành động Chiến lược SHTT tích hợp trong Digital Thailand [11]. Tăng cường cơ chế phối hợp liên ngành giữa Cơ quan Phát triển Kinh tế số (DEPA) và Cục Sở hữu trí tuệ để giám sát vi phạm bản quyền trực tuyến.</t>
        </is>
      </c>
      <c r="F6" s="25" t="inlineStr">
        <is>
          <t>Tập trung thực thi quyền SHTT trực tuyến thông qua việc tăng cường trách nhiệm pháp lý của trung gian dịch vụ Internet và các sàn giao dịch TMĐT lớn.</t>
        </is>
      </c>
      <c r="G6" s="26" t="inlineStr">
        <is>
          <t>Khung pháp lý đang trong quá trình cập nhật nhằm xử lý các tài sản trí tuệ mới (như mã nguồn nền tảng số Việt Nam [6]). Tuy nhiên, các chính sách thực thi SHTT trong TMĐT còn tương đối sơ khai; các quy định về e-commerce ngắn và còn chồng chéo, phức tạp gây khó khăn cho việc đăng ký và bảo hộ của các startup số [19].</t>
        </is>
      </c>
    </row>
    <row r="7" ht="110" customHeight="1">
      <c r="A7" s="23" t="inlineStr">
        <is>
          <t>3. Quản lý lưu chuyển dữ liệu qua biên giới</t>
        </is>
      </c>
      <c r="B7" s="24" t="inlineStr">
        <is>
          <t>Áp dụng chính sách tự do hóa dữ liệu hoàn diện. Cho phép tất cả các dạng dữ liệu, bao gồm cả dữ liệu cá nhân, được lưu chuyển xuyên biên giới một cách tự do không rào cản [31].</t>
        </is>
      </c>
      <c r="C7" s="25" t="inlineStr">
        <is>
          <t>Áp dụng các yêu cầu nghiêm ngặt về nội địa hóa dữ liệu (Data Localisation). Yêu cầu lưu trữ dữ liệu trong nước đối với một số lĩnh vực trọng yếu dựa trên các mối quan ngại về an ninh công cộng và an ninh quốc gia [31].</t>
        </is>
      </c>
      <c r="D7" s="25" t="inlineStr">
        <is>
          <t>Sử dụng cách tiếp cận có điều kiện (conditional approach) đối với việc chuyển dữ liệu xuyên biên giới dựa trên Đạo luật bảo vệ dữ liệu cá nhân [31].</t>
        </is>
      </c>
      <c r="E7" s="25" t="inlineStr">
        <is>
          <t>Áp dụng cách tiếp cận có điều kiện đối với luồng dữ liệu xuyên biên giới [31]. Ban hành Đạo luật Bảo vệ Dữ liệu Cá nhân (PDPA) mô phỏng theo chuẩn mực GDPR của Liên minh Châu Âu nhằm đảm bảo tiêu chuẩn an toàn dữ liệu công bằng [11].</t>
        </is>
      </c>
      <c r="F7" s="25" t="inlineStr">
        <is>
          <t>Áp dụng chính sách mở cửa hoàn toàn; cho phép tự do lưu chuyển dữ liệu qua biên giới (free flow of data), không áp đặt các rào cản hành chính [31].</t>
        </is>
      </c>
      <c r="G7" s="26" t="inlineStr">
        <is>
          <t>Áp dụng các yêu cầu nội địa hóa dữ liệu (Data Localisation) đối với một số loại thông tin, trích dẫn các lo ngại về an ninh quốc gia và trật tự an toàn xã hội [31]. Quy định chi tiết trong Luật An ninh mạng và các văn bản hướng dẫn về lưu trữ dữ liệu tại Việt Nam.</t>
        </is>
      </c>
    </row>
    <row r="8" ht="110" customHeight="1">
      <c r="A8" s="23" t="inlineStr">
        <is>
          <t>4. Quản lý nền tảng số và TMĐT</t>
        </is>
      </c>
      <c r="B8" s="24" t="inlineStr">
        <is>
          <t>Quản lý thông qua Đạo luật Dịch vụ Thanh toán 2019 (Payment Services Act 2019) kiểm soát chặt chẽ trung gian thanh toán và fintech trực tuyến [36]. Hỗ trợ các nền tảng mở như Open Innovation Platform (OIP).</t>
        </is>
      </c>
      <c r="C8" s="25" t="inlineStr">
        <is>
          <t>Ban hành Lộ trình Thương mại điện tử Quốc gia (National E-Commerce Roadmap) định hướng và quản lý dòng giao dịch trên các sàn TMĐT trực tuyến [12].</t>
        </is>
      </c>
      <c r="D8" s="25" t="inlineStr">
        <is>
          <t>Quản lý chặt chẽ thông qua việc áp dụng các cơ chế thuế số hóa đối với dịch vụ nền tảng xuyên biên giới, hỗ trợ MSMEs tích hợp công cụ số hóa thanh toán [2].</t>
        </is>
      </c>
      <c r="E8" s="25" t="inlineStr">
        <is>
          <t>Xây dựng tiêu chuẩn quản lý rủi ro trên nền tảng trực tuyến thông qua Đạo luật Giao dịch Điện tử, Đạo luật An ninh mạng và Đạo luật Phòng chống Tội phạm mạng để ngăn chặn lừa đảo, lừa đảo trực tuyến [11].</t>
        </is>
      </c>
      <c r="F8" s="25" t="inlineStr">
        <is>
          <t>Quản lý sàn TMĐT và bảo vệ người tiêu dùng số thông qua Đạo luật giao dịch điện tử và các hướng dẫn thực thi bảo mật thông tin tài chính người dùng.</t>
        </is>
      </c>
      <c r="G8" s="26" t="inlineStr">
        <is>
          <t>Ban hành Quyết định số 1813/QĐ-TTg thúc đẩy thanh toán không dùng tiền mặt và thương mại điện tử trực tuyến [13]. Tuy nhiên, môi trường pháp lý cho nền tảng số còn chồng chéo, gây lúng túng cho khối tư nhân [19, 20]. Khung pháp lý về thương mại điện tử còn ngắn, cần bổ sung sửa đổi để theo kịp thực tế phát triển nhanh của video commerce và creator economy [19, 58].</t>
        </is>
      </c>
    </row>
    <row r="9" ht="110" customHeight="1">
      <c r="A9" s="23" t="inlineStr">
        <is>
          <t>5. Thể chế quản trị Trí tuệ nhân tạo (AI)</t>
        </is>
      </c>
      <c r="B9" s="24" t="inlineStr">
        <is>
          <t>Dẫn đầu khu vực với chương trình AI Singapore cấp quốc gia thúc đẩy hợp tác nghiên cứu [4]. Đi đầu phát triển tiêu chuẩn đạo đức AI thông qua việc tích cực thảo luận và áp dụng các khung quản trị tiên tiến.</t>
        </is>
      </c>
      <c r="C9" s="25" t="inlineStr">
        <is>
          <t>Chưa có khung pháp lý chuyên biệt; trách nhiệm quản lý an toàn và đạo đức AI hiện chủ yếu nằm trong tay các Công ty Kinh tế số (DECs) đang tự nguyện áp dụng nhằm giảm thiểu rủi ro thương mại [17].</t>
        </is>
      </c>
      <c r="D9" s="25" t="inlineStr">
        <is>
          <t>Tham gia thảo luận xây dựng các bộ quy chuẩn đạo đức AI khu vực, khuyến khích các doanh nghiệp công nghệ áp dụng tự nguyện đạo đức AI trong phát triển phần mềm.</t>
        </is>
      </c>
      <c r="E9" s="25" t="inlineStr">
        <is>
          <t>Cơ quan DEPA thúc đẩy nghiên cứu ứng dụng AI trong nông nghiệp và y tế [4, 59]. Tích cực thảo luận và xây dựng Khung hướng dẫn đạo đức AI tích hợp trong chiến lược Trust số hóa quốc gia [11].</t>
        </is>
      </c>
      <c r="F9" s="25" t="inlineStr">
        <is>
          <t>Quản lý AI ở mức độ sơ khai; khuyến khích các DEC công nghệ lớn chủ động thực hiện trách nhiệm đạo đức trong triển khai mô hình học máy trực tuyến.</t>
        </is>
      </c>
      <c r="G9" s="26" t="inlineStr">
        <is>
          <t>Việc quản lý và kiểm soát rủi ro công nghệ mới như AI chủ yếu vẫn dựa trên sự tự nguyện của các tập đoàn công nghệ (DECs) [17]. Đang trong quá trình nghiên cứu xây dựng các hướng dẫn đạo đức và quản trị AI hài hòa với dự thảo Hướng dẫn Quản trị và Đạo đức AI của ASEAN [17, 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2026-06-27T16:13:16Z</dcterms:created>
  <dcterms:modified xmlns:dcterms="http://purl.org/dc/terms/" xmlns:xsi="http://www.w3.org/2001/XMLSchema-instance" xsi:type="dcterms:W3CDTF">2026-06-27T16:13:16Z</dcterms:modified>
</cp:coreProperties>
</file>